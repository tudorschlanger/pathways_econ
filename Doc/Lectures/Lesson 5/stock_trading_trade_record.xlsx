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ouda\Downloads\"/>
    </mc:Choice>
  </mc:AlternateContent>
  <xr:revisionPtr revIDLastSave="0" documentId="13_ncr:1_{4D32FA92-1B16-4BC7-8A9C-AC52206F6D2B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Read Me" sheetId="1" r:id="rId1"/>
    <sheet name="Setup" sheetId="2" r:id="rId2"/>
    <sheet name="Price Board" sheetId="3" r:id="rId3"/>
    <sheet name="Trade Log" sheetId="4" r:id="rId4"/>
    <sheet name="Settlemen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5" l="1"/>
  <c r="D13" i="5"/>
  <c r="E12" i="5"/>
  <c r="D12" i="5"/>
  <c r="E11" i="5"/>
  <c r="D11" i="5"/>
  <c r="B6" i="5"/>
  <c r="B5" i="5"/>
  <c r="G4" i="5"/>
  <c r="B4" i="5"/>
</calcChain>
</file>

<file path=xl/sharedStrings.xml><?xml version="1.0" encoding="utf-8"?>
<sst xmlns="http://schemas.openxmlformats.org/spreadsheetml/2006/main" count="70" uniqueCount="53">
  <si>
    <t>Stock Trading Game — Teacher Workbook</t>
  </si>
  <si>
    <t>How to use this workbook</t>
  </si>
  <si>
    <t>1. Edit the starting setup on the Setup sheet if needed.</t>
  </si>
  <si>
    <t>2. Reveal one row at a time on the Price Board sheet during class.</t>
  </si>
  <si>
    <t>3. Record every completed trade on the Trade Log sheet.</t>
  </si>
  <si>
    <t>4. Update each group’s final cash and final stock held on the Settlement sheet.</t>
  </si>
  <si>
    <t>5. The Settlement sheet calculates final wealth automatically.</t>
  </si>
  <si>
    <t>Default game design</t>
  </si>
  <si>
    <t>Groups</t>
  </si>
  <si>
    <t>3</t>
  </si>
  <si>
    <t>Stocks</t>
  </si>
  <si>
    <t>Apple, Tesla, NVIDIA</t>
  </si>
  <si>
    <t>Supply</t>
  </si>
  <si>
    <t>1 share of each stock</t>
  </si>
  <si>
    <t>Rounds</t>
  </si>
  <si>
    <t>5</t>
  </si>
  <si>
    <t>Winning rule</t>
  </si>
  <si>
    <t>Highest final wealth</t>
  </si>
  <si>
    <t>Starting Setup</t>
  </si>
  <si>
    <t>Group</t>
  </si>
  <si>
    <t>Starting Cash</t>
  </si>
  <si>
    <t>Starting Stock Held</t>
  </si>
  <si>
    <t>Stocks in game</t>
  </si>
  <si>
    <t>Group 1</t>
  </si>
  <si>
    <t>None</t>
  </si>
  <si>
    <t>Apple</t>
  </si>
  <si>
    <t>Group 2</t>
  </si>
  <si>
    <t>Tesla</t>
  </si>
  <si>
    <t>Group 3</t>
  </si>
  <si>
    <t>NVIDIA</t>
  </si>
  <si>
    <t>Price Board</t>
  </si>
  <si>
    <t>Round</t>
  </si>
  <si>
    <t>Teacher note</t>
  </si>
  <si>
    <t>Opening prices</t>
  </si>
  <si>
    <t>Final settlement prices</t>
  </si>
  <si>
    <t>Trade Log</t>
  </si>
  <si>
    <t>Trade #</t>
  </si>
  <si>
    <t>Trade Type</t>
  </si>
  <si>
    <t>Seller / From</t>
  </si>
  <si>
    <t>Buyer / To</t>
  </si>
  <si>
    <t>Stock Sold / Given</t>
  </si>
  <si>
    <t>Stock Bought / Received</t>
  </si>
  <si>
    <t>Cash Amount</t>
  </si>
  <si>
    <t>Posted Price</t>
  </si>
  <si>
    <t>Notes</t>
  </si>
  <si>
    <t>Settlement</t>
  </si>
  <si>
    <t>Final prices</t>
  </si>
  <si>
    <t>Winner</t>
  </si>
  <si>
    <t>Enter each group's final cash and final stock held after the last round.</t>
  </si>
  <si>
    <t>Final Cash</t>
  </si>
  <si>
    <t>Final Stock Held</t>
  </si>
  <si>
    <t>Stock Value</t>
  </si>
  <si>
    <t>Final Wealth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</si>
</sst>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6"/>
      <color rgb="FF1F2937"/>
      <name val="Aptos"/>
    </font>
    <font>
      <b/>
      <sz val="11"/>
      <color rgb="FF1F2937"/>
      <name val="Aptos"/>
    </font>
    <font>
      <sz val="10.5"/>
      <color rgb="FF1F2937"/>
      <name val="Aptos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F4FB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17" sqref="B17"/>
    </sheetView>
  </sheetViews>
  <sheetFormatPr defaultRowHeight="14" x14ac:dyDescent="0.25"/>
  <cols>
    <col min="1" max="1" width="28" customWidth="1"/>
    <col min="2" max="2" width="32" customWidth="1"/>
  </cols>
  <sheetData>
    <row r="1" spans="1:2" ht="21" x14ac:dyDescent="0.5">
      <c r="A1" s="1" t="s">
        <v>0</v>
      </c>
    </row>
    <row r="3" spans="1:2" ht="15" x14ac:dyDescent="0.35">
      <c r="A3" s="2" t="s">
        <v>1</v>
      </c>
    </row>
    <row r="5" spans="1:2" ht="28" x14ac:dyDescent="0.25">
      <c r="A5" s="3" t="s">
        <v>2</v>
      </c>
    </row>
    <row r="6" spans="1:2" ht="42" x14ac:dyDescent="0.25">
      <c r="A6" s="3" t="s">
        <v>3</v>
      </c>
    </row>
    <row r="7" spans="1:2" ht="28" x14ac:dyDescent="0.25">
      <c r="A7" s="3" t="s">
        <v>4</v>
      </c>
    </row>
    <row r="8" spans="1:2" ht="42" x14ac:dyDescent="0.25">
      <c r="A8" s="3" t="s">
        <v>5</v>
      </c>
    </row>
    <row r="9" spans="1:2" ht="42" x14ac:dyDescent="0.25">
      <c r="A9" s="3" t="s">
        <v>6</v>
      </c>
    </row>
    <row r="12" spans="1:2" ht="15" x14ac:dyDescent="0.35">
      <c r="A12" s="2" t="s">
        <v>7</v>
      </c>
    </row>
    <row r="13" spans="1:2" ht="14.5" x14ac:dyDescent="0.25">
      <c r="A13" s="4" t="s">
        <v>8</v>
      </c>
      <c r="B13" s="5" t="s">
        <v>9</v>
      </c>
    </row>
    <row r="14" spans="1:2" ht="14.5" x14ac:dyDescent="0.25">
      <c r="A14" s="4" t="s">
        <v>10</v>
      </c>
      <c r="B14" s="5" t="s">
        <v>11</v>
      </c>
    </row>
    <row r="15" spans="1:2" ht="14.5" x14ac:dyDescent="0.25">
      <c r="A15" s="4" t="s">
        <v>12</v>
      </c>
      <c r="B15" s="5" t="s">
        <v>13</v>
      </c>
    </row>
    <row r="16" spans="1:2" ht="14.5" x14ac:dyDescent="0.25">
      <c r="A16" s="4" t="s">
        <v>14</v>
      </c>
      <c r="B16" s="5" t="s">
        <v>15</v>
      </c>
    </row>
    <row r="17" spans="1:2" ht="14.5" x14ac:dyDescent="0.25">
      <c r="A17" s="4" t="s">
        <v>16</v>
      </c>
      <c r="B17" s="5" t="s">
        <v>17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B8" sqref="B8"/>
    </sheetView>
  </sheetViews>
  <sheetFormatPr defaultRowHeight="14" x14ac:dyDescent="0.25"/>
  <cols>
    <col min="1" max="2" width="16" customWidth="1"/>
    <col min="3" max="3" width="20" customWidth="1"/>
    <col min="5" max="5" width="18" customWidth="1"/>
  </cols>
  <sheetData>
    <row r="1" spans="1:5" ht="21" x14ac:dyDescent="0.5">
      <c r="A1" s="1" t="s">
        <v>18</v>
      </c>
    </row>
    <row r="3" spans="1:5" ht="15" x14ac:dyDescent="0.35">
      <c r="A3" s="6" t="s">
        <v>19</v>
      </c>
      <c r="B3" s="6" t="s">
        <v>20</v>
      </c>
      <c r="C3" s="6" t="s">
        <v>21</v>
      </c>
      <c r="E3" s="7" t="s">
        <v>22</v>
      </c>
    </row>
    <row r="4" spans="1:5" x14ac:dyDescent="0.25">
      <c r="A4" s="5" t="s">
        <v>23</v>
      </c>
      <c r="B4" s="8">
        <v>0</v>
      </c>
      <c r="C4" s="8" t="s">
        <v>24</v>
      </c>
      <c r="E4" s="5" t="s">
        <v>25</v>
      </c>
    </row>
    <row r="5" spans="1:5" x14ac:dyDescent="0.25">
      <c r="A5" s="5" t="s">
        <v>26</v>
      </c>
      <c r="B5" s="8">
        <v>0</v>
      </c>
      <c r="C5" s="8" t="s">
        <v>25</v>
      </c>
      <c r="E5" s="5" t="s">
        <v>27</v>
      </c>
    </row>
    <row r="6" spans="1:5" x14ac:dyDescent="0.25">
      <c r="A6" s="5" t="s">
        <v>28</v>
      </c>
      <c r="B6" s="8">
        <v>100</v>
      </c>
      <c r="C6" s="8" t="s">
        <v>27</v>
      </c>
      <c r="E6" s="5" t="s">
        <v>29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pane ySplit="3" topLeftCell="A4" activePane="bottomLeft" state="frozen"/>
      <selection pane="bottomLeft"/>
    </sheetView>
  </sheetViews>
  <sheetFormatPr defaultRowHeight="14" x14ac:dyDescent="0.25"/>
  <cols>
    <col min="1" max="1" width="10" customWidth="1"/>
    <col min="2" max="4" width="12" customWidth="1"/>
    <col min="5" max="5" width="24" customWidth="1"/>
  </cols>
  <sheetData>
    <row r="1" spans="1:5" ht="21" x14ac:dyDescent="0.5">
      <c r="A1" s="1" t="s">
        <v>30</v>
      </c>
    </row>
    <row r="3" spans="1:5" ht="14.5" x14ac:dyDescent="0.25">
      <c r="A3" s="6" t="s">
        <v>31</v>
      </c>
      <c r="B3" s="6" t="s">
        <v>25</v>
      </c>
      <c r="C3" s="6" t="s">
        <v>27</v>
      </c>
      <c r="D3" s="6" t="s">
        <v>29</v>
      </c>
      <c r="E3" s="6" t="s">
        <v>32</v>
      </c>
    </row>
    <row r="4" spans="1:5" x14ac:dyDescent="0.25">
      <c r="A4" s="8">
        <v>1</v>
      </c>
      <c r="B4" s="8">
        <v>100</v>
      </c>
      <c r="C4" s="8">
        <v>100</v>
      </c>
      <c r="D4" s="8">
        <v>100</v>
      </c>
      <c r="E4" s="5" t="s">
        <v>33</v>
      </c>
    </row>
    <row r="5" spans="1:5" x14ac:dyDescent="0.25">
      <c r="A5" s="8">
        <v>2</v>
      </c>
      <c r="B5" s="8">
        <v>108</v>
      </c>
      <c r="C5" s="8">
        <v>95</v>
      </c>
      <c r="D5" s="8">
        <v>110</v>
      </c>
      <c r="E5" s="5"/>
    </row>
    <row r="6" spans="1:5" x14ac:dyDescent="0.25">
      <c r="A6" s="8">
        <v>3</v>
      </c>
      <c r="B6" s="8">
        <v>103</v>
      </c>
      <c r="C6" s="8">
        <v>105</v>
      </c>
      <c r="D6" s="8">
        <v>120</v>
      </c>
      <c r="E6" s="5"/>
    </row>
    <row r="7" spans="1:5" x14ac:dyDescent="0.25">
      <c r="A7" s="8">
        <v>4</v>
      </c>
      <c r="B7" s="8">
        <v>112</v>
      </c>
      <c r="C7" s="8">
        <v>90</v>
      </c>
      <c r="D7" s="8">
        <v>108</v>
      </c>
      <c r="E7" s="5"/>
    </row>
    <row r="8" spans="1:5" x14ac:dyDescent="0.25">
      <c r="A8" s="8">
        <v>5</v>
      </c>
      <c r="B8" s="8">
        <v>118</v>
      </c>
      <c r="C8" s="8">
        <v>115</v>
      </c>
      <c r="D8" s="8">
        <v>130</v>
      </c>
      <c r="E8" s="5" t="s">
        <v>34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"/>
  <sheetViews>
    <sheetView workbookViewId="0">
      <pane ySplit="3" topLeftCell="A4" activePane="bottomLeft" state="frozen"/>
      <selection pane="bottomLeft"/>
    </sheetView>
  </sheetViews>
  <sheetFormatPr defaultRowHeight="14" x14ac:dyDescent="0.25"/>
  <cols>
    <col min="1" max="2" width="10" customWidth="1"/>
    <col min="3" max="3" width="24" customWidth="1"/>
    <col min="4" max="5" width="18" customWidth="1"/>
    <col min="6" max="6" width="20" customWidth="1"/>
    <col min="7" max="7" width="22" customWidth="1"/>
    <col min="8" max="9" width="14" customWidth="1"/>
    <col min="10" max="10" width="24" customWidth="1"/>
  </cols>
  <sheetData>
    <row r="1" spans="1:10" ht="21" x14ac:dyDescent="0.5">
      <c r="A1" s="1" t="s">
        <v>35</v>
      </c>
    </row>
    <row r="3" spans="1:10" ht="14.5" x14ac:dyDescent="0.25">
      <c r="A3" s="6" t="s">
        <v>31</v>
      </c>
      <c r="B3" s="6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6" t="s">
        <v>42</v>
      </c>
      <c r="I3" s="6" t="s">
        <v>43</v>
      </c>
      <c r="J3" s="6" t="s">
        <v>44</v>
      </c>
    </row>
    <row r="4" spans="1:10" x14ac:dyDescent="0.25">
      <c r="A4" s="8"/>
      <c r="B4" s="8">
        <v>1</v>
      </c>
      <c r="C4" s="5"/>
      <c r="D4" s="5"/>
      <c r="E4" s="5"/>
      <c r="F4" s="5"/>
      <c r="G4" s="5"/>
      <c r="H4" s="8"/>
      <c r="I4" s="8"/>
      <c r="J4" s="5"/>
    </row>
    <row r="5" spans="1:10" x14ac:dyDescent="0.25">
      <c r="A5" s="8"/>
      <c r="B5" s="8">
        <v>2</v>
      </c>
      <c r="C5" s="5"/>
      <c r="D5" s="5"/>
      <c r="E5" s="5"/>
      <c r="F5" s="5"/>
      <c r="G5" s="5"/>
      <c r="H5" s="8"/>
      <c r="I5" s="8"/>
      <c r="J5" s="5"/>
    </row>
    <row r="6" spans="1:10" x14ac:dyDescent="0.25">
      <c r="A6" s="8"/>
      <c r="B6" s="8">
        <v>3</v>
      </c>
      <c r="C6" s="5"/>
      <c r="D6" s="5"/>
      <c r="E6" s="5"/>
      <c r="F6" s="5"/>
      <c r="G6" s="5"/>
      <c r="H6" s="8"/>
      <c r="I6" s="8"/>
      <c r="J6" s="5"/>
    </row>
    <row r="7" spans="1:10" x14ac:dyDescent="0.25">
      <c r="A7" s="8"/>
      <c r="B7" s="8">
        <v>4</v>
      </c>
      <c r="C7" s="5"/>
      <c r="D7" s="5"/>
      <c r="E7" s="5"/>
      <c r="F7" s="5"/>
      <c r="G7" s="5"/>
      <c r="H7" s="8"/>
      <c r="I7" s="8"/>
      <c r="J7" s="5"/>
    </row>
    <row r="8" spans="1:10" x14ac:dyDescent="0.25">
      <c r="A8" s="8"/>
      <c r="B8" s="8">
        <v>5</v>
      </c>
      <c r="C8" s="5"/>
      <c r="D8" s="5"/>
      <c r="E8" s="5"/>
      <c r="F8" s="5"/>
      <c r="G8" s="5"/>
      <c r="H8" s="8"/>
      <c r="I8" s="8"/>
      <c r="J8" s="5"/>
    </row>
    <row r="9" spans="1:10" x14ac:dyDescent="0.25">
      <c r="A9" s="8"/>
      <c r="B9" s="8">
        <v>6</v>
      </c>
      <c r="C9" s="5"/>
      <c r="D9" s="5"/>
      <c r="E9" s="5"/>
      <c r="F9" s="5"/>
      <c r="G9" s="5"/>
      <c r="H9" s="8"/>
      <c r="I9" s="8"/>
      <c r="J9" s="5"/>
    </row>
    <row r="10" spans="1:10" x14ac:dyDescent="0.25">
      <c r="A10" s="8"/>
      <c r="B10" s="8">
        <v>7</v>
      </c>
      <c r="C10" s="5"/>
      <c r="D10" s="5"/>
      <c r="E10" s="5"/>
      <c r="F10" s="5"/>
      <c r="G10" s="5"/>
      <c r="H10" s="8"/>
      <c r="I10" s="8"/>
      <c r="J10" s="5"/>
    </row>
    <row r="11" spans="1:10" x14ac:dyDescent="0.25">
      <c r="A11" s="8"/>
      <c r="B11" s="8">
        <v>8</v>
      </c>
      <c r="C11" s="5"/>
      <c r="D11" s="5"/>
      <c r="E11" s="5"/>
      <c r="F11" s="5"/>
      <c r="G11" s="5"/>
      <c r="H11" s="8"/>
      <c r="I11" s="8"/>
      <c r="J11" s="5"/>
    </row>
    <row r="12" spans="1:10" x14ac:dyDescent="0.25">
      <c r="A12" s="8"/>
      <c r="B12" s="8">
        <v>9</v>
      </c>
      <c r="C12" s="5"/>
      <c r="D12" s="5"/>
      <c r="E12" s="5"/>
      <c r="F12" s="5"/>
      <c r="G12" s="5"/>
      <c r="H12" s="8"/>
      <c r="I12" s="8"/>
      <c r="J12" s="5"/>
    </row>
    <row r="13" spans="1:10" x14ac:dyDescent="0.25">
      <c r="A13" s="8"/>
      <c r="B13" s="8">
        <v>10</v>
      </c>
      <c r="C13" s="5"/>
      <c r="D13" s="5"/>
      <c r="E13" s="5"/>
      <c r="F13" s="5"/>
      <c r="G13" s="5"/>
      <c r="H13" s="8"/>
      <c r="I13" s="8"/>
      <c r="J13" s="5"/>
    </row>
    <row r="14" spans="1:10" x14ac:dyDescent="0.25">
      <c r="A14" s="8"/>
      <c r="B14" s="8">
        <v>11</v>
      </c>
      <c r="C14" s="5"/>
      <c r="D14" s="5"/>
      <c r="E14" s="5"/>
      <c r="F14" s="5"/>
      <c r="G14" s="5"/>
      <c r="H14" s="8"/>
      <c r="I14" s="8"/>
      <c r="J14" s="5"/>
    </row>
    <row r="15" spans="1:10" x14ac:dyDescent="0.25">
      <c r="A15" s="8"/>
      <c r="B15" s="8">
        <v>12</v>
      </c>
      <c r="C15" s="5"/>
      <c r="D15" s="5"/>
      <c r="E15" s="5"/>
      <c r="F15" s="5"/>
      <c r="G15" s="5"/>
      <c r="H15" s="8"/>
      <c r="I15" s="8"/>
      <c r="J15" s="5"/>
    </row>
    <row r="16" spans="1:10" x14ac:dyDescent="0.25">
      <c r="A16" s="8"/>
      <c r="B16" s="8">
        <v>13</v>
      </c>
      <c r="C16" s="5"/>
      <c r="D16" s="5"/>
      <c r="E16" s="5"/>
      <c r="F16" s="5"/>
      <c r="G16" s="5"/>
      <c r="H16" s="8"/>
      <c r="I16" s="8"/>
      <c r="J16" s="5"/>
    </row>
    <row r="17" spans="1:10" x14ac:dyDescent="0.25">
      <c r="A17" s="8"/>
      <c r="B17" s="8">
        <v>14</v>
      </c>
      <c r="C17" s="5"/>
      <c r="D17" s="5"/>
      <c r="E17" s="5"/>
      <c r="F17" s="5"/>
      <c r="G17" s="5"/>
      <c r="H17" s="8"/>
      <c r="I17" s="8"/>
      <c r="J17" s="5"/>
    </row>
    <row r="18" spans="1:10" x14ac:dyDescent="0.25">
      <c r="A18" s="8"/>
      <c r="B18" s="8">
        <v>15</v>
      </c>
      <c r="C18" s="5"/>
      <c r="D18" s="5"/>
      <c r="E18" s="5"/>
      <c r="F18" s="5"/>
      <c r="G18" s="5"/>
      <c r="H18" s="8"/>
      <c r="I18" s="8"/>
      <c r="J18" s="5"/>
    </row>
    <row r="19" spans="1:10" x14ac:dyDescent="0.25">
      <c r="A19" s="8"/>
      <c r="B19" s="8">
        <v>16</v>
      </c>
      <c r="C19" s="5"/>
      <c r="D19" s="5"/>
      <c r="E19" s="5"/>
      <c r="F19" s="5"/>
      <c r="G19" s="5"/>
      <c r="H19" s="8"/>
      <c r="I19" s="8"/>
      <c r="J19" s="5"/>
    </row>
    <row r="20" spans="1:10" x14ac:dyDescent="0.25">
      <c r="A20" s="8"/>
      <c r="B20" s="8">
        <v>17</v>
      </c>
      <c r="C20" s="5"/>
      <c r="D20" s="5"/>
      <c r="E20" s="5"/>
      <c r="F20" s="5"/>
      <c r="G20" s="5"/>
      <c r="H20" s="8"/>
      <c r="I20" s="8"/>
      <c r="J20" s="5"/>
    </row>
    <row r="21" spans="1:10" x14ac:dyDescent="0.25">
      <c r="A21" s="8"/>
      <c r="B21" s="8">
        <v>18</v>
      </c>
      <c r="C21" s="5"/>
      <c r="D21" s="5"/>
      <c r="E21" s="5"/>
      <c r="F21" s="5"/>
      <c r="G21" s="5"/>
      <c r="H21" s="8"/>
      <c r="I21" s="8"/>
      <c r="J21" s="5"/>
    </row>
    <row r="22" spans="1:10" x14ac:dyDescent="0.25">
      <c r="A22" s="8"/>
      <c r="B22" s="8">
        <v>19</v>
      </c>
      <c r="C22" s="5"/>
      <c r="D22" s="5"/>
      <c r="E22" s="5"/>
      <c r="F22" s="5"/>
      <c r="G22" s="5"/>
      <c r="H22" s="8"/>
      <c r="I22" s="8"/>
      <c r="J22" s="5"/>
    </row>
    <row r="23" spans="1:10" x14ac:dyDescent="0.25">
      <c r="A23" s="8"/>
      <c r="B23" s="8">
        <v>20</v>
      </c>
      <c r="C23" s="5"/>
      <c r="D23" s="5"/>
      <c r="E23" s="5"/>
      <c r="F23" s="5"/>
      <c r="G23" s="5"/>
      <c r="H23" s="8"/>
      <c r="I23" s="8"/>
      <c r="J23" s="5"/>
    </row>
    <row r="24" spans="1:10" x14ac:dyDescent="0.25">
      <c r="A24" s="8"/>
      <c r="B24" s="8">
        <v>21</v>
      </c>
      <c r="C24" s="5"/>
      <c r="D24" s="5"/>
      <c r="E24" s="5"/>
      <c r="F24" s="5"/>
      <c r="G24" s="5"/>
      <c r="H24" s="8"/>
      <c r="I24" s="8"/>
      <c r="J24" s="5"/>
    </row>
    <row r="25" spans="1:10" x14ac:dyDescent="0.25">
      <c r="A25" s="8"/>
      <c r="B25" s="8">
        <v>22</v>
      </c>
      <c r="C25" s="5"/>
      <c r="D25" s="5"/>
      <c r="E25" s="5"/>
      <c r="F25" s="5"/>
      <c r="G25" s="5"/>
      <c r="H25" s="8"/>
      <c r="I25" s="8"/>
      <c r="J25" s="5"/>
    </row>
    <row r="26" spans="1:10" x14ac:dyDescent="0.25">
      <c r="A26" s="8"/>
      <c r="B26" s="8">
        <v>23</v>
      </c>
      <c r="C26" s="5"/>
      <c r="D26" s="5"/>
      <c r="E26" s="5"/>
      <c r="F26" s="5"/>
      <c r="G26" s="5"/>
      <c r="H26" s="8"/>
      <c r="I26" s="8"/>
      <c r="J26" s="5"/>
    </row>
    <row r="27" spans="1:10" x14ac:dyDescent="0.25">
      <c r="A27" s="8"/>
      <c r="B27" s="8">
        <v>24</v>
      </c>
      <c r="C27" s="5"/>
      <c r="D27" s="5"/>
      <c r="E27" s="5"/>
      <c r="F27" s="5"/>
      <c r="G27" s="5"/>
      <c r="H27" s="8"/>
      <c r="I27" s="8"/>
      <c r="J27" s="5"/>
    </row>
    <row r="28" spans="1:10" x14ac:dyDescent="0.25">
      <c r="A28" s="8"/>
      <c r="B28" s="8">
        <v>25</v>
      </c>
      <c r="C28" s="5"/>
      <c r="D28" s="5"/>
      <c r="E28" s="5"/>
      <c r="F28" s="5"/>
      <c r="G28" s="5"/>
      <c r="H28" s="8"/>
      <c r="I28" s="8"/>
      <c r="J28" s="5"/>
    </row>
    <row r="29" spans="1:10" x14ac:dyDescent="0.25">
      <c r="A29" s="8"/>
      <c r="B29" s="8">
        <v>26</v>
      </c>
      <c r="C29" s="5"/>
      <c r="D29" s="5"/>
      <c r="E29" s="5"/>
      <c r="F29" s="5"/>
      <c r="G29" s="5"/>
      <c r="H29" s="8"/>
      <c r="I29" s="8"/>
      <c r="J29" s="5"/>
    </row>
    <row r="30" spans="1:10" x14ac:dyDescent="0.25">
      <c r="A30" s="8"/>
      <c r="B30" s="8">
        <v>27</v>
      </c>
      <c r="C30" s="5"/>
      <c r="D30" s="5"/>
      <c r="E30" s="5"/>
      <c r="F30" s="5"/>
      <c r="G30" s="5"/>
      <c r="H30" s="8"/>
      <c r="I30" s="8"/>
      <c r="J30" s="5"/>
    </row>
    <row r="31" spans="1:10" x14ac:dyDescent="0.25">
      <c r="A31" s="8"/>
      <c r="B31" s="8">
        <v>28</v>
      </c>
      <c r="C31" s="5"/>
      <c r="D31" s="5"/>
      <c r="E31" s="5"/>
      <c r="F31" s="5"/>
      <c r="G31" s="5"/>
      <c r="H31" s="8"/>
      <c r="I31" s="8"/>
      <c r="J31" s="5"/>
    </row>
    <row r="32" spans="1:10" x14ac:dyDescent="0.25">
      <c r="A32" s="8"/>
      <c r="B32" s="8">
        <v>29</v>
      </c>
      <c r="C32" s="5"/>
      <c r="D32" s="5"/>
      <c r="E32" s="5"/>
      <c r="F32" s="5"/>
      <c r="G32" s="5"/>
      <c r="H32" s="8"/>
      <c r="I32" s="8"/>
      <c r="J32" s="5"/>
    </row>
    <row r="33" spans="1:10" x14ac:dyDescent="0.25">
      <c r="A33" s="8"/>
      <c r="B33" s="8">
        <v>30</v>
      </c>
      <c r="C33" s="5"/>
      <c r="D33" s="5"/>
      <c r="E33" s="5"/>
      <c r="F33" s="5"/>
      <c r="G33" s="5"/>
      <c r="H33" s="8"/>
      <c r="I33" s="8"/>
      <c r="J33" s="5"/>
    </row>
  </sheetData>
  <phoneticPr fontId="4" type="noConversion"/>
  <dataValidations count="3">
    <dataValidation type="list" allowBlank="1" sqref="C4:C33" xr:uid="{00000000-0002-0000-0300-000000000000}">
      <formula1>"Buy from Market,Sell to Market,Group-to-Group Cash Trade,Stock Swap"</formula1>
    </dataValidation>
    <dataValidation type="list" allowBlank="1" sqref="D4:E33" xr:uid="{00000000-0002-0000-0300-000001000000}">
      <formula1>"Group 1,Group 2,Group 3,Market"</formula1>
    </dataValidation>
    <dataValidation type="list" allowBlank="1" sqref="F4:G33" xr:uid="{00000000-0002-0000-0300-000002000000}">
      <formula1>"Apple,Tesla,NVIDIA,None"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tabSelected="1" workbookViewId="0">
      <selection activeCell="G4" sqref="G4"/>
    </sheetView>
  </sheetViews>
  <sheetFormatPr defaultRowHeight="14" x14ac:dyDescent="0.25"/>
  <cols>
    <col min="1" max="1" width="16" customWidth="1"/>
    <col min="2" max="2" width="14" customWidth="1"/>
    <col min="3" max="3" width="18" customWidth="1"/>
    <col min="4" max="5" width="14" customWidth="1"/>
    <col min="7" max="8" width="18" customWidth="1"/>
  </cols>
  <sheetData>
    <row r="1" spans="1:7" ht="21" x14ac:dyDescent="0.5">
      <c r="A1" s="1" t="s">
        <v>45</v>
      </c>
    </row>
    <row r="3" spans="1:7" ht="15" x14ac:dyDescent="0.35">
      <c r="A3" s="7" t="s">
        <v>46</v>
      </c>
      <c r="G3" s="7" t="s">
        <v>47</v>
      </c>
    </row>
    <row r="4" spans="1:7" x14ac:dyDescent="0.25">
      <c r="A4" s="5" t="s">
        <v>25</v>
      </c>
      <c r="B4" s="8">
        <f>'Price Board'!B8</f>
        <v>118</v>
      </c>
      <c r="G4" s="8" t="e">
        <f>IF(COUNTA(E11:E13)&lt;3,"",INDEX(A11:A13,MATCH(MAX(E11:E13),E11:E13,0)))</f>
        <v>#N/A</v>
      </c>
    </row>
    <row r="5" spans="1:7" x14ac:dyDescent="0.25">
      <c r="A5" s="5" t="s">
        <v>27</v>
      </c>
      <c r="B5" s="8">
        <f>'Price Board'!C8</f>
        <v>115</v>
      </c>
    </row>
    <row r="6" spans="1:7" ht="15" x14ac:dyDescent="0.35">
      <c r="A6" s="5" t="s">
        <v>29</v>
      </c>
      <c r="B6" s="8">
        <f>'Price Board'!D8</f>
        <v>130</v>
      </c>
      <c r="G6" s="7" t="s">
        <v>32</v>
      </c>
    </row>
    <row r="7" spans="1:7" ht="38" customHeight="1" x14ac:dyDescent="0.25">
      <c r="G7" s="9" t="s">
        <v>48</v>
      </c>
    </row>
    <row r="10" spans="1:7" ht="14.5" x14ac:dyDescent="0.25">
      <c r="A10" s="6" t="s">
        <v>19</v>
      </c>
      <c r="B10" s="6" t="s">
        <v>49</v>
      </c>
      <c r="C10" s="6" t="s">
        <v>50</v>
      </c>
      <c r="D10" s="6" t="s">
        <v>51</v>
      </c>
      <c r="E10" s="6" t="s">
        <v>52</v>
      </c>
    </row>
    <row r="11" spans="1:7" x14ac:dyDescent="0.25">
      <c r="A11" s="5" t="s">
        <v>23</v>
      </c>
      <c r="B11" s="8"/>
      <c r="C11" s="8" t="s">
        <v>24</v>
      </c>
      <c r="D11" s="8">
        <f>IF(C11="None",0,VLOOKUP(C11,$A$4:$B$6,2,FALSE))</f>
        <v>0</v>
      </c>
      <c r="E11" s="8" t="str">
        <f>IF(B11="", "", B11+D11)</f>
        <v/>
      </c>
    </row>
    <row r="12" spans="1:7" x14ac:dyDescent="0.25">
      <c r="A12" s="5" t="s">
        <v>26</v>
      </c>
      <c r="B12" s="8"/>
      <c r="C12" s="8" t="s">
        <v>24</v>
      </c>
      <c r="D12" s="8">
        <f>IF(C12="None",0,VLOOKUP(C12,$A$4:$B$6,2,FALSE))</f>
        <v>0</v>
      </c>
      <c r="E12" s="8" t="str">
        <f>IF(B12="", "", B12+D12)</f>
        <v/>
      </c>
    </row>
    <row r="13" spans="1:7" x14ac:dyDescent="0.25">
      <c r="A13" s="5" t="s">
        <v>28</v>
      </c>
      <c r="B13" s="8"/>
      <c r="C13" s="8" t="s">
        <v>24</v>
      </c>
      <c r="D13" s="8">
        <f>IF(C13="None",0,VLOOKUP(C13,$A$4:$B$6,2,FALSE))</f>
        <v>0</v>
      </c>
      <c r="E13" s="8" t="str">
        <f>IF(B13="", "", B13+D13)</f>
        <v/>
      </c>
    </row>
  </sheetData>
  <phoneticPr fontId="4" type="noConversion"/>
  <dataValidations count="1">
    <dataValidation type="list" sqref="C11:C13" xr:uid="{00000000-0002-0000-0400-000000000000}">
      <formula1>"Apple,Tesla,NVIDIA,None"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14518A77E0904A4AA2385D6D5CC91772" ma:contentTypeVersion="3" ma:contentTypeDescription="新建文档。" ma:contentTypeScope="" ma:versionID="9073d4a5064f6dec5225390e90aa52de">
  <xsd:schema xmlns:xsd="http://www.w3.org/2001/XMLSchema" xmlns:xs="http://www.w3.org/2001/XMLSchema" xmlns:p="http://schemas.microsoft.com/office/2006/metadata/properties" xmlns:ns2="b6ce657c-e071-4850-bb9e-22f9b7568e9e" targetNamespace="http://schemas.microsoft.com/office/2006/metadata/properties" ma:root="true" ma:fieldsID="66d2c213b88346913a65bbf570630461" ns2:_="">
    <xsd:import namespace="b6ce657c-e071-4850-bb9e-22f9b7568e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ce657c-e071-4850-bb9e-22f9b7568e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CA21F0-6018-40F7-AB33-977F1A646FDD}"/>
</file>

<file path=customXml/itemProps2.xml><?xml version="1.0" encoding="utf-8"?>
<ds:datastoreItem xmlns:ds="http://schemas.openxmlformats.org/officeDocument/2006/customXml" ds:itemID="{2B94DB36-C155-47AF-996A-2E561280B9F8}"/>
</file>

<file path=customXml/itemProps3.xml><?xml version="1.0" encoding="utf-8"?>
<ds:datastoreItem xmlns:ds="http://schemas.openxmlformats.org/officeDocument/2006/customXml" ds:itemID="{D641AFBD-040B-4098-B1AE-DC3FAB6499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 Me</vt:lpstr>
      <vt:lpstr>Setup</vt:lpstr>
      <vt:lpstr>Price Board</vt:lpstr>
      <vt:lpstr>Trade Log</vt:lpstr>
      <vt:lpstr>Settlement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Youdan</cp:lastModifiedBy>
  <dcterms:created xsi:type="dcterms:W3CDTF">2026-04-23T12:57:14Z</dcterms:created>
  <dcterms:modified xsi:type="dcterms:W3CDTF">2026-04-23T13:10:10Z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0x01010014518A77E0904A4AA2385D6D5CC91772</vt:lpwstr>
  </property>
</Properties>
</file>